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veuciliste-Pula\Analiza\"/>
    </mc:Choice>
  </mc:AlternateContent>
  <xr:revisionPtr revIDLastSave="0" documentId="13_ncr:40001_{44F23A4F-2869-4100-A076-42FBBCDB3A5C}" xr6:coauthVersionLast="47" xr6:coauthVersionMax="47" xr10:uidLastSave="{00000000-0000-0000-0000-000000000000}"/>
  <bookViews>
    <workbookView xWindow="1260" yWindow="1305" windowWidth="25155" windowHeight="13950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1" i="1" l="1"/>
  <c r="D41" i="1" s="1"/>
  <c r="C37" i="1"/>
  <c r="D37" i="1" s="1"/>
  <c r="C40" i="1"/>
  <c r="D40" i="1" s="1"/>
  <c r="C39" i="1"/>
  <c r="D39" i="1" s="1"/>
  <c r="C38" i="1"/>
  <c r="D38" i="1" s="1"/>
  <c r="C35" i="1"/>
  <c r="D35" i="1" s="1"/>
  <c r="C34" i="1"/>
  <c r="D34" i="1" s="1"/>
  <c r="C36" i="1"/>
  <c r="D36" i="1" s="1"/>
  <c r="C30" i="1"/>
  <c r="D30" i="1" s="1"/>
  <c r="C33" i="1"/>
  <c r="D33" i="1" s="1"/>
  <c r="C24" i="1"/>
  <c r="D24" i="1" s="1"/>
  <c r="C25" i="1"/>
  <c r="D25" i="1" s="1"/>
  <c r="C27" i="1"/>
  <c r="D27" i="1" s="1"/>
  <c r="C26" i="1"/>
  <c r="D26" i="1" s="1"/>
  <c r="C29" i="1"/>
  <c r="D29" i="1" s="1"/>
  <c r="C32" i="1"/>
  <c r="D32" i="1" s="1"/>
  <c r="C28" i="1"/>
  <c r="D28" i="1" s="1"/>
  <c r="C31" i="1"/>
  <c r="D31" i="1" s="1"/>
  <c r="C20" i="1"/>
  <c r="D20" i="1" s="1"/>
  <c r="C19" i="1"/>
  <c r="D19" i="1" s="1"/>
  <c r="C18" i="1"/>
  <c r="D18" i="1" s="1"/>
  <c r="C16" i="1"/>
  <c r="D16" i="1" s="1"/>
  <c r="C9" i="1"/>
  <c r="D9" i="1" s="1"/>
  <c r="C15" i="1"/>
  <c r="D15" i="1" s="1"/>
  <c r="C17" i="1"/>
  <c r="D17" i="1" s="1"/>
  <c r="C13" i="1"/>
  <c r="D13" i="1" s="1"/>
  <c r="C6" i="1"/>
  <c r="D6" i="1" s="1"/>
  <c r="C12" i="1"/>
  <c r="D12" i="1" s="1"/>
  <c r="C11" i="1"/>
  <c r="D11" i="1" s="1"/>
  <c r="C8" i="1"/>
  <c r="D8" i="1" s="1"/>
  <c r="C14" i="1"/>
  <c r="D14" i="1" s="1"/>
  <c r="C7" i="1"/>
  <c r="D7" i="1" s="1"/>
  <c r="C5" i="1"/>
  <c r="D5" i="1" s="1"/>
  <c r="C10" i="1"/>
  <c r="D10" i="1" s="1"/>
  <c r="C3" i="1"/>
  <c r="D3" i="1" s="1"/>
  <c r="C4" i="1"/>
  <c r="D4" i="1" s="1"/>
</calcChain>
</file>

<file path=xl/sharedStrings.xml><?xml version="1.0" encoding="utf-8"?>
<sst xmlns="http://schemas.openxmlformats.org/spreadsheetml/2006/main" count="50" uniqueCount="44">
  <si>
    <t>Ime i prezime</t>
  </si>
  <si>
    <t>Kolokvij 1 (bodovi)</t>
  </si>
  <si>
    <t>Kolokvij 1 (postotak)</t>
  </si>
  <si>
    <t>Kolokvij 1a</t>
  </si>
  <si>
    <t>Bodovi za ispit</t>
  </si>
  <si>
    <t>Juraj Crljenko</t>
  </si>
  <si>
    <t>Dominik Ćurić</t>
  </si>
  <si>
    <t>Luka Hušak</t>
  </si>
  <si>
    <t>Adis Spahić</t>
  </si>
  <si>
    <t>Ronan Krebel</t>
  </si>
  <si>
    <t>Jan Čule</t>
  </si>
  <si>
    <t>Mark Legović</t>
  </si>
  <si>
    <t>Mario Bariša</t>
  </si>
  <si>
    <t>Kristian Bertoša</t>
  </si>
  <si>
    <t>Marija Kurić</t>
  </si>
  <si>
    <t>Renzo Ermacora</t>
  </si>
  <si>
    <t>Antonio Fras</t>
  </si>
  <si>
    <t>Tin Kežić</t>
  </si>
  <si>
    <t>Sara Lončarić</t>
  </si>
  <si>
    <t>Elen Hajdarović</t>
  </si>
  <si>
    <t>Leda Bielić</t>
  </si>
  <si>
    <t>Martina Doma</t>
  </si>
  <si>
    <t>Anna Bissinger</t>
  </si>
  <si>
    <t>Kolokvij 1b</t>
  </si>
  <si>
    <t>Položili kolokvij</t>
  </si>
  <si>
    <t>Drugi kolokvij treba napisati bolje da bi prošli</t>
  </si>
  <si>
    <t>Lucas Popović</t>
  </si>
  <si>
    <t>Paula Vorih</t>
  </si>
  <si>
    <t>Dorijan Rijavec</t>
  </si>
  <si>
    <t>Natonio Ramić</t>
  </si>
  <si>
    <t>Dinko Nađ</t>
  </si>
  <si>
    <t>Barbara Medica</t>
  </si>
  <si>
    <t>Niko Miljanić</t>
  </si>
  <si>
    <t>Luka Vilagoš</t>
  </si>
  <si>
    <t>Stjepan Srdarević</t>
  </si>
  <si>
    <t>Mateo Šegon</t>
  </si>
  <si>
    <t>Alma Reka</t>
  </si>
  <si>
    <t>Sara Maljić</t>
  </si>
  <si>
    <t>Luka Ritoša</t>
  </si>
  <si>
    <t>Marko Paladin</t>
  </si>
  <si>
    <t>Sanja Žitnik</t>
  </si>
  <si>
    <t>Jan Pavlović</t>
  </si>
  <si>
    <t>Leon Nadenić</t>
  </si>
  <si>
    <t>Antonio turković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</si>
</sst>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0" borderId="0" xfId="0" applyFont="1"/>
    <xf numFmtId="2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abSelected="1" workbookViewId="0">
      <selection activeCell="J8" sqref="J8"/>
    </sheetView>
  </sheetViews>
  <sheetFormatPr defaultRowHeight="15" x14ac:dyDescent="0.25"/>
  <cols>
    <col min="1" max="1" width="22" customWidth="1"/>
    <col min="2" max="2" width="10" customWidth="1"/>
    <col min="3" max="3" width="11.140625" customWidth="1"/>
    <col min="4" max="4" width="8.42578125" customWidth="1"/>
  </cols>
  <sheetData>
    <row r="1" spans="1:6" x14ac:dyDescent="0.25">
      <c r="A1" s="3" t="s">
        <v>3</v>
      </c>
    </row>
    <row r="2" spans="1:6" ht="30.75" customHeight="1" x14ac:dyDescent="0.25">
      <c r="A2" s="5" t="s">
        <v>0</v>
      </c>
      <c r="B2" s="1" t="s">
        <v>1</v>
      </c>
      <c r="C2" s="1" t="s">
        <v>2</v>
      </c>
      <c r="D2" s="1" t="s">
        <v>4</v>
      </c>
    </row>
    <row r="3" spans="1:6" x14ac:dyDescent="0.25">
      <c r="A3" t="s">
        <v>6</v>
      </c>
      <c r="B3" s="2">
        <v>6.8</v>
      </c>
      <c r="C3" s="9">
        <f>B3/8</f>
        <v>0.85</v>
      </c>
      <c r="D3" s="4">
        <f>C3*30</f>
        <v>25.5</v>
      </c>
    </row>
    <row r="4" spans="1:6" x14ac:dyDescent="0.25">
      <c r="A4" t="s">
        <v>5</v>
      </c>
      <c r="B4" s="2">
        <v>6.6</v>
      </c>
      <c r="C4" s="9">
        <f>B4/8</f>
        <v>0.82499999999999996</v>
      </c>
      <c r="D4" s="4">
        <f>C4*30</f>
        <v>24.75</v>
      </c>
    </row>
    <row r="5" spans="1:6" x14ac:dyDescent="0.25">
      <c r="A5" t="s">
        <v>8</v>
      </c>
      <c r="B5" s="2">
        <v>6.6</v>
      </c>
      <c r="C5" s="9">
        <f>B5/8</f>
        <v>0.82499999999999996</v>
      </c>
      <c r="D5" s="4">
        <f>C5*30</f>
        <v>24.75</v>
      </c>
    </row>
    <row r="6" spans="1:6" x14ac:dyDescent="0.25">
      <c r="A6" t="s">
        <v>14</v>
      </c>
      <c r="B6" s="2">
        <v>6</v>
      </c>
      <c r="C6" s="9">
        <f>B6/8</f>
        <v>0.75</v>
      </c>
      <c r="D6" s="4">
        <f>C6*30</f>
        <v>22.5</v>
      </c>
    </row>
    <row r="7" spans="1:6" x14ac:dyDescent="0.25">
      <c r="A7" t="s">
        <v>9</v>
      </c>
      <c r="B7" s="2">
        <v>5.5</v>
      </c>
      <c r="C7" s="9">
        <f>B7/8</f>
        <v>0.6875</v>
      </c>
      <c r="D7" s="4">
        <f>C7*30</f>
        <v>20.625</v>
      </c>
    </row>
    <row r="8" spans="1:6" x14ac:dyDescent="0.25">
      <c r="A8" t="s">
        <v>11</v>
      </c>
      <c r="B8" s="2">
        <v>5</v>
      </c>
      <c r="C8" s="9">
        <f>B8/8</f>
        <v>0.625</v>
      </c>
      <c r="D8" s="4">
        <f>C8*30</f>
        <v>18.75</v>
      </c>
    </row>
    <row r="9" spans="1:6" x14ac:dyDescent="0.25">
      <c r="A9" t="s">
        <v>18</v>
      </c>
      <c r="B9" s="2">
        <v>4.8</v>
      </c>
      <c r="C9" s="9">
        <f>B9/8</f>
        <v>0.6</v>
      </c>
      <c r="D9" s="4">
        <f>C9*30</f>
        <v>18</v>
      </c>
    </row>
    <row r="10" spans="1:6" x14ac:dyDescent="0.25">
      <c r="A10" s="6" t="s">
        <v>7</v>
      </c>
      <c r="B10" s="7">
        <v>4.0999999999999996</v>
      </c>
      <c r="C10" s="10">
        <f>B10/8</f>
        <v>0.51249999999999996</v>
      </c>
      <c r="D10" s="8">
        <f>C10*30</f>
        <v>15.374999999999998</v>
      </c>
      <c r="E10" s="6" t="s">
        <v>24</v>
      </c>
      <c r="F10" s="6"/>
    </row>
    <row r="11" spans="1:6" x14ac:dyDescent="0.25">
      <c r="A11" t="s">
        <v>12</v>
      </c>
      <c r="B11" s="2">
        <v>3.3</v>
      </c>
      <c r="C11" s="9">
        <f>B11/8</f>
        <v>0.41249999999999998</v>
      </c>
      <c r="D11" s="4">
        <f>C11*30</f>
        <v>12.375</v>
      </c>
    </row>
    <row r="12" spans="1:6" x14ac:dyDescent="0.25">
      <c r="A12" t="s">
        <v>13</v>
      </c>
      <c r="B12" s="2">
        <v>3</v>
      </c>
      <c r="C12" s="9">
        <f>B12/8</f>
        <v>0.375</v>
      </c>
      <c r="D12" s="4">
        <f>C12*30</f>
        <v>11.25</v>
      </c>
    </row>
    <row r="13" spans="1:6" x14ac:dyDescent="0.25">
      <c r="A13" s="6" t="s">
        <v>15</v>
      </c>
      <c r="B13" s="7">
        <v>3</v>
      </c>
      <c r="C13" s="10">
        <f>B13/8</f>
        <v>0.375</v>
      </c>
      <c r="D13" s="8">
        <f>C13*30</f>
        <v>11.25</v>
      </c>
      <c r="E13" s="6" t="s">
        <v>25</v>
      </c>
      <c r="F13" s="6"/>
    </row>
    <row r="14" spans="1:6" x14ac:dyDescent="0.25">
      <c r="A14" t="s">
        <v>10</v>
      </c>
      <c r="B14" s="2">
        <v>1.6</v>
      </c>
      <c r="C14" s="9">
        <f>B14/8</f>
        <v>0.2</v>
      </c>
      <c r="D14" s="4">
        <f>C14*30</f>
        <v>6</v>
      </c>
    </row>
    <row r="15" spans="1:6" x14ac:dyDescent="0.25">
      <c r="A15" t="s">
        <v>17</v>
      </c>
      <c r="B15" s="2">
        <v>1</v>
      </c>
      <c r="C15" s="9">
        <f>B15/8</f>
        <v>0.125</v>
      </c>
      <c r="D15" s="4">
        <f>C15*30</f>
        <v>3.75</v>
      </c>
    </row>
    <row r="16" spans="1:6" x14ac:dyDescent="0.25">
      <c r="A16" t="s">
        <v>19</v>
      </c>
      <c r="B16" s="2">
        <v>1</v>
      </c>
      <c r="C16" s="9">
        <f>B16/8</f>
        <v>0.125</v>
      </c>
      <c r="D16" s="4">
        <f>C16*30</f>
        <v>3.75</v>
      </c>
    </row>
    <row r="17" spans="1:6" x14ac:dyDescent="0.25">
      <c r="A17" t="s">
        <v>16</v>
      </c>
      <c r="B17" s="2">
        <v>0.5</v>
      </c>
      <c r="C17" s="9">
        <f>B17/8</f>
        <v>6.25E-2</v>
      </c>
      <c r="D17" s="4">
        <f>C17*30</f>
        <v>1.875</v>
      </c>
    </row>
    <row r="18" spans="1:6" x14ac:dyDescent="0.25">
      <c r="A18" t="s">
        <v>20</v>
      </c>
      <c r="B18" s="2">
        <v>0</v>
      </c>
      <c r="C18" s="9">
        <f>B18/8</f>
        <v>0</v>
      </c>
      <c r="D18" s="4">
        <f>C18*30</f>
        <v>0</v>
      </c>
    </row>
    <row r="19" spans="1:6" x14ac:dyDescent="0.25">
      <c r="A19" t="s">
        <v>21</v>
      </c>
      <c r="B19" s="2">
        <v>0</v>
      </c>
      <c r="C19" s="9">
        <f>B19/8</f>
        <v>0</v>
      </c>
      <c r="D19" s="4">
        <f>C19*30</f>
        <v>0</v>
      </c>
    </row>
    <row r="20" spans="1:6" x14ac:dyDescent="0.25">
      <c r="A20" t="s">
        <v>22</v>
      </c>
      <c r="B20" s="2">
        <v>0</v>
      </c>
      <c r="C20" s="9">
        <f>B20/8</f>
        <v>0</v>
      </c>
      <c r="D20" s="4">
        <f>C20*30</f>
        <v>0</v>
      </c>
    </row>
    <row r="21" spans="1:6" x14ac:dyDescent="0.25">
      <c r="B21" s="2"/>
      <c r="C21" s="4"/>
      <c r="D21" s="4"/>
    </row>
    <row r="22" spans="1:6" x14ac:dyDescent="0.25">
      <c r="A22" s="3" t="s">
        <v>23</v>
      </c>
      <c r="B22" s="2"/>
      <c r="C22" s="4"/>
      <c r="D22" s="4"/>
    </row>
    <row r="23" spans="1:6" ht="30.75" customHeight="1" x14ac:dyDescent="0.25">
      <c r="A23" s="5" t="s">
        <v>0</v>
      </c>
      <c r="B23" s="1" t="s">
        <v>1</v>
      </c>
      <c r="C23" s="1" t="s">
        <v>2</v>
      </c>
      <c r="D23" s="1" t="s">
        <v>4</v>
      </c>
    </row>
    <row r="24" spans="1:6" x14ac:dyDescent="0.25">
      <c r="A24" t="s">
        <v>33</v>
      </c>
      <c r="B24" s="2">
        <v>8</v>
      </c>
      <c r="C24" s="9">
        <f>B24/8</f>
        <v>1</v>
      </c>
      <c r="D24" s="4">
        <f>C24*30</f>
        <v>30</v>
      </c>
    </row>
    <row r="25" spans="1:6" x14ac:dyDescent="0.25">
      <c r="A25" t="s">
        <v>32</v>
      </c>
      <c r="B25" s="2">
        <v>6</v>
      </c>
      <c r="C25" s="9">
        <f>B25/8</f>
        <v>0.75</v>
      </c>
      <c r="D25" s="4">
        <f>C25*30</f>
        <v>22.5</v>
      </c>
    </row>
    <row r="26" spans="1:6" x14ac:dyDescent="0.25">
      <c r="A26" t="s">
        <v>30</v>
      </c>
      <c r="B26" s="2">
        <v>5.2</v>
      </c>
      <c r="C26" s="9">
        <f>B26/8</f>
        <v>0.65</v>
      </c>
      <c r="D26" s="4">
        <f>C26*30</f>
        <v>19.5</v>
      </c>
    </row>
    <row r="27" spans="1:6" x14ac:dyDescent="0.25">
      <c r="A27" t="s">
        <v>31</v>
      </c>
      <c r="B27" s="2">
        <v>4.8</v>
      </c>
      <c r="C27" s="9">
        <f>B27/8</f>
        <v>0.6</v>
      </c>
      <c r="D27" s="4">
        <f>C27*30</f>
        <v>18</v>
      </c>
    </row>
    <row r="28" spans="1:6" x14ac:dyDescent="0.25">
      <c r="A28" t="s">
        <v>27</v>
      </c>
      <c r="B28" s="2">
        <v>4.3</v>
      </c>
      <c r="C28" s="9">
        <f>B28/8</f>
        <v>0.53749999999999998</v>
      </c>
      <c r="D28" s="4">
        <f>C28*30</f>
        <v>16.125</v>
      </c>
    </row>
    <row r="29" spans="1:6" x14ac:dyDescent="0.25">
      <c r="A29" t="s">
        <v>29</v>
      </c>
      <c r="B29" s="2">
        <v>4.0999999999999996</v>
      </c>
      <c r="C29" s="9">
        <f>B29/8</f>
        <v>0.51249999999999996</v>
      </c>
      <c r="D29" s="4">
        <f>C29*30</f>
        <v>15.374999999999998</v>
      </c>
    </row>
    <row r="30" spans="1:6" x14ac:dyDescent="0.25">
      <c r="A30" s="6" t="s">
        <v>35</v>
      </c>
      <c r="B30" s="7">
        <v>4</v>
      </c>
      <c r="C30" s="10">
        <f>B30/8</f>
        <v>0.5</v>
      </c>
      <c r="D30" s="8">
        <f>C30*30</f>
        <v>15</v>
      </c>
      <c r="E30" s="6" t="s">
        <v>24</v>
      </c>
      <c r="F30" s="6"/>
    </row>
    <row r="31" spans="1:6" x14ac:dyDescent="0.25">
      <c r="A31" t="s">
        <v>26</v>
      </c>
      <c r="B31" s="2">
        <v>3.8</v>
      </c>
      <c r="C31" s="9">
        <f>B31/8</f>
        <v>0.47499999999999998</v>
      </c>
      <c r="D31" s="4">
        <f>C31*30</f>
        <v>14.25</v>
      </c>
    </row>
    <row r="32" spans="1:6" x14ac:dyDescent="0.25">
      <c r="A32" t="s">
        <v>28</v>
      </c>
      <c r="B32" s="2">
        <v>3.6</v>
      </c>
      <c r="C32" s="9">
        <f>B32/8</f>
        <v>0.45</v>
      </c>
      <c r="D32" s="4">
        <f>C32*30</f>
        <v>13.5</v>
      </c>
    </row>
    <row r="33" spans="1:6" x14ac:dyDescent="0.25">
      <c r="A33" s="6" t="s">
        <v>34</v>
      </c>
      <c r="B33" s="7">
        <v>3</v>
      </c>
      <c r="C33" s="10">
        <f>B33/8</f>
        <v>0.375</v>
      </c>
      <c r="D33" s="8">
        <f>C33*30</f>
        <v>11.25</v>
      </c>
      <c r="E33" s="6" t="s">
        <v>25</v>
      </c>
      <c r="F33" s="6"/>
    </row>
    <row r="34" spans="1:6" x14ac:dyDescent="0.25">
      <c r="A34" t="s">
        <v>37</v>
      </c>
      <c r="B34" s="2">
        <v>2</v>
      </c>
      <c r="C34" s="9">
        <f>B34/8</f>
        <v>0.25</v>
      </c>
      <c r="D34" s="4">
        <f>C34*30</f>
        <v>7.5</v>
      </c>
    </row>
    <row r="35" spans="1:6" x14ac:dyDescent="0.25">
      <c r="A35" t="s">
        <v>38</v>
      </c>
      <c r="B35" s="2">
        <v>1.8</v>
      </c>
      <c r="C35" s="9">
        <f>B35/8</f>
        <v>0.22500000000000001</v>
      </c>
      <c r="D35" s="4">
        <f>C35*30</f>
        <v>6.75</v>
      </c>
    </row>
    <row r="36" spans="1:6" x14ac:dyDescent="0.25">
      <c r="A36" t="s">
        <v>36</v>
      </c>
      <c r="B36" s="2">
        <v>1</v>
      </c>
      <c r="C36" s="9">
        <f>B36/8</f>
        <v>0.125</v>
      </c>
      <c r="D36" s="4">
        <f>C36*30</f>
        <v>3.75</v>
      </c>
    </row>
    <row r="37" spans="1:6" x14ac:dyDescent="0.25">
      <c r="A37" t="s">
        <v>42</v>
      </c>
      <c r="B37" s="2">
        <v>1</v>
      </c>
      <c r="C37" s="9">
        <f>B37/8</f>
        <v>0.125</v>
      </c>
      <c r="D37" s="4">
        <f>C37*30</f>
        <v>3.75</v>
      </c>
    </row>
    <row r="38" spans="1:6" x14ac:dyDescent="0.25">
      <c r="A38" t="s">
        <v>39</v>
      </c>
      <c r="B38" s="2">
        <v>0.5</v>
      </c>
      <c r="C38" s="9">
        <f>B38/8</f>
        <v>6.25E-2</v>
      </c>
      <c r="D38" s="4">
        <f>C38*30</f>
        <v>1.875</v>
      </c>
    </row>
    <row r="39" spans="1:6" x14ac:dyDescent="0.25">
      <c r="A39" t="s">
        <v>40</v>
      </c>
      <c r="B39" s="2">
        <v>0</v>
      </c>
      <c r="C39" s="9">
        <f>B39/8</f>
        <v>0</v>
      </c>
      <c r="D39" s="4">
        <f>C39*30</f>
        <v>0</v>
      </c>
    </row>
    <row r="40" spans="1:6" x14ac:dyDescent="0.25">
      <c r="A40" t="s">
        <v>41</v>
      </c>
      <c r="B40" s="2">
        <v>0</v>
      </c>
      <c r="C40" s="9">
        <f>B40/8</f>
        <v>0</v>
      </c>
      <c r="D40" s="4">
        <f>C40*30</f>
        <v>0</v>
      </c>
    </row>
    <row r="41" spans="1:6" x14ac:dyDescent="0.25">
      <c r="A41" t="s">
        <v>43</v>
      </c>
      <c r="B41" s="2">
        <v>0</v>
      </c>
      <c r="C41" s="9">
        <f>B41/8</f>
        <v>0</v>
      </c>
      <c r="D41" s="4">
        <f>C41*30</f>
        <v>0</v>
      </c>
    </row>
    <row r="42" spans="1:6" x14ac:dyDescent="0.25">
      <c r="C42" s="9"/>
      <c r="D42" s="4"/>
    </row>
  </sheetData>
  <sortState xmlns:xlrd2="http://schemas.microsoft.com/office/spreadsheetml/2017/richdata2" ref="A24:D41">
    <sortCondition descending="1" ref="D24:D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Darko Brborovic</dc:creator>
  <cp:lastModifiedBy>Darko Brborovic</cp:lastModifiedBy>
  <dcterms:created xsi:type="dcterms:W3CDTF">2024-04-21T17:46:18Z</dcterms:created>
  <dcterms:modified xsi:type="dcterms:W3CDTF">2024-04-21T19:03:18Z</dcterms:modified>
</cp:coreProperties>
</file>